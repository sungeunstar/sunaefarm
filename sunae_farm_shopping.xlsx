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구매 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AAAAAA"/>
      <sz val="9"/>
    </font>
    <font>
      <name val="Arial"/>
      <b val="1"/>
      <color rgb="00FFFFFF"/>
      <sz val="10"/>
    </font>
    <font>
      <name val="Arial"/>
      <color rgb="001A1F1A"/>
      <sz val="9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A3A1A"/>
      </patternFill>
    </fill>
    <fill>
      <patternFill patternType="solid">
        <fgColor rgb="001A2E1A"/>
      </patternFill>
    </fill>
    <fill>
      <patternFill patternType="solid">
        <fgColor rgb="004A8C3F"/>
      </patternFill>
    </fill>
    <fill>
      <patternFill patternType="solid">
        <fgColor rgb="002D5A27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E3F2F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4A8C3F"/>
      </left>
      <right style="medium">
        <color rgb="004A8C3F"/>
      </right>
      <top style="medium">
        <color rgb="004A8C3F"/>
      </top>
      <bottom style="medium">
        <color rgb="004A8C3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right" vertical="center" wrapText="1"/>
    </xf>
    <xf numFmtId="0" fontId="2" fillId="5" borderId="2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8" customWidth="1" min="4" max="4"/>
    <col width="14" customWidth="1" min="5" max="5"/>
    <col width="14" customWidth="1" min="6" max="6"/>
    <col width="28" customWidth="1" min="7" max="7"/>
    <col width="22" customWidth="1" min="8" max="8"/>
  </cols>
  <sheetData>
    <row r="1" ht="36" customHeight="1">
      <c r="A1" s="1" t="inlineStr">
        <is>
          <t>🌿  SUNAE FARM — 전체 구매 리스트</t>
        </is>
      </c>
    </row>
    <row r="2" ht="18" customHeight="1">
      <c r="A2" s="2" t="inlineStr">
        <is>
          <t>FARMOB v1  ·  라즈베리파이 4B + Arduino Uno  ·  비닐하우스 프로토타입  ·  모드 스위칭(AUTO/REMOTE/MANUAL) 포함</t>
        </is>
      </c>
    </row>
    <row r="3" ht="22" customHeight="1">
      <c r="A3" s="3" t="inlineStr">
        <is>
          <t>카테고리</t>
        </is>
      </c>
      <c r="B3" s="3" t="inlineStr">
        <is>
          <t>부품명</t>
        </is>
      </c>
      <c r="C3" s="3" t="inlineStr">
        <is>
          <t>추천 모델</t>
        </is>
      </c>
      <c r="D3" s="3" t="inlineStr">
        <is>
          <t>수량</t>
        </is>
      </c>
      <c r="E3" s="3" t="inlineStr">
        <is>
          <t>단가 (₩)</t>
        </is>
      </c>
      <c r="F3" s="3" t="inlineStr">
        <is>
          <t>합계 (₩)</t>
        </is>
      </c>
      <c r="G3" s="3" t="inlineStr">
        <is>
          <t>비고</t>
        </is>
      </c>
      <c r="H3" s="3" t="inlineStr">
        <is>
          <t>구매처</t>
        </is>
      </c>
    </row>
    <row r="4" ht="30" customHeight="1">
      <c r="A4" s="4" t="inlineStr">
        <is>
          <t>🧠 메인보드</t>
        </is>
      </c>
    </row>
    <row r="5" ht="30" customHeight="1">
      <c r="A5" s="5" t="inlineStr">
        <is>
          <t>메인보드</t>
        </is>
      </c>
      <c r="B5" s="5" t="inlineStr">
        <is>
          <t>라즈베리파이 4B 2GB</t>
        </is>
      </c>
      <c r="C5" s="5" t="inlineStr">
        <is>
          <t>Raspberry Pi 4 Model B 2GB (정품)</t>
        </is>
      </c>
      <c r="D5" s="6" t="n">
        <v>1</v>
      </c>
      <c r="E5" s="6" t="inlineStr">
        <is>
          <t>₩65,000~80,000</t>
        </is>
      </c>
      <c r="F5" s="6">
        <f>D5*65000</f>
        <v/>
      </c>
      <c r="G5" s="5" t="inlineStr">
        <is>
          <t>두뇌. SSH원격·웹서버·코드업로드 허브</t>
        </is>
      </c>
      <c r="H5" s="5" t="inlineStr">
        <is>
          <t>엘레파츠 / 아이씨뱅큐 (공식)</t>
        </is>
      </c>
    </row>
    <row r="6" ht="30" customHeight="1">
      <c r="A6" s="5" t="inlineStr">
        <is>
          <t>메인보드</t>
        </is>
      </c>
      <c r="B6" s="5" t="inlineStr">
        <is>
          <t>방열판 + 쿨링팬 세트</t>
        </is>
      </c>
      <c r="C6" s="5" t="inlineStr">
        <is>
          <t>Pi4 전용 방열판 3종 + 팬</t>
        </is>
      </c>
      <c r="D6" s="6" t="n">
        <v>1</v>
      </c>
      <c r="E6" s="6" t="inlineStr">
        <is>
          <t>₩3,000~6,000</t>
        </is>
      </c>
      <c r="F6" s="6">
        <f>D6*3000</f>
        <v/>
      </c>
      <c r="G6" s="5" t="inlineStr">
        <is>
          <t>24시간 가동 과열 방지 필수</t>
        </is>
      </c>
      <c r="H6" s="5" t="inlineStr">
        <is>
          <t>쿠팡 / 엘레파츠 옵션</t>
        </is>
      </c>
    </row>
    <row r="7" ht="30" customHeight="1">
      <c r="A7" s="5" t="inlineStr">
        <is>
          <t>메인보드</t>
        </is>
      </c>
      <c r="B7" s="5" t="inlineStr">
        <is>
          <t>라즈베리파이 케이스</t>
        </is>
      </c>
      <c r="C7" s="5" t="inlineStr">
        <is>
          <t>Pi4 전용 ABS 방수 케이스 (팬장착형)</t>
        </is>
      </c>
      <c r="D7" s="6" t="n">
        <v>1</v>
      </c>
      <c r="E7" s="6" t="inlineStr">
        <is>
          <t>₩5,000~10,000</t>
        </is>
      </c>
      <c r="F7" s="6">
        <f>D7*5000</f>
        <v/>
      </c>
      <c r="G7" s="5" t="inlineStr">
        <is>
          <t>농장 수분·먼지 차단 필수</t>
        </is>
      </c>
      <c r="H7" s="5" t="inlineStr">
        <is>
          <t>쿠팡</t>
        </is>
      </c>
    </row>
    <row r="8" ht="30" customHeight="1">
      <c r="A8" s="7" t="inlineStr">
        <is>
          <t>메인보드</t>
        </is>
      </c>
      <c r="B8" s="7" t="inlineStr">
        <is>
          <t>MicroSD 32GB (U3)</t>
        </is>
      </c>
      <c r="C8" s="7" t="inlineStr">
        <is>
          <t>Samsung MB-MC32GA / SanDisk SDSQUA4</t>
        </is>
      </c>
      <c r="D8" s="8" t="n">
        <v>1</v>
      </c>
      <c r="E8" s="8" t="inlineStr">
        <is>
          <t>₩8,000~12,000</t>
        </is>
      </c>
      <c r="F8" s="8">
        <f>D8*8000</f>
        <v/>
      </c>
      <c r="G8" s="7" t="inlineStr">
        <is>
          <t>U3 이상 필수. 노브랜드 금지</t>
        </is>
      </c>
      <c r="H8" s="7" t="inlineStr">
        <is>
          <t>쿠팡 (삼성 정품)</t>
        </is>
      </c>
    </row>
    <row r="9" ht="30" customHeight="1">
      <c r="A9" s="9" t="inlineStr">
        <is>
          <t>메인보드</t>
        </is>
      </c>
      <c r="B9" s="9" t="inlineStr">
        <is>
          <t>전원 어댑터 5V 3A (USB-C)</t>
        </is>
      </c>
      <c r="C9" s="9" t="inlineStr">
        <is>
          <t>라즈베리파이 공식 어댑터</t>
        </is>
      </c>
      <c r="D9" s="10" t="n">
        <v>1</v>
      </c>
      <c r="E9" s="10" t="inlineStr">
        <is>
          <t>₩8,000~15,000</t>
        </is>
      </c>
      <c r="F9" s="10">
        <f>D9*8000</f>
        <v/>
      </c>
      <c r="G9" s="9" t="inlineStr">
        <is>
          <t>일반 충전기 절대 금지. 5V 초과 시 보드 손상</t>
        </is>
      </c>
      <c r="H9" s="9" t="inlineStr">
        <is>
          <t>엘레파츠 / 쿠팡</t>
        </is>
      </c>
    </row>
    <row r="10" ht="30" customHeight="1">
      <c r="A10" s="5" t="inlineStr">
        <is>
          <t>메인보드</t>
        </is>
      </c>
      <c r="B10" s="5" t="inlineStr">
        <is>
          <t>Arduino Uno R3</t>
        </is>
      </c>
      <c r="C10" s="5" t="inlineStr">
        <is>
          <t>Arduino Uno R3 정품 / 호환 보드</t>
        </is>
      </c>
      <c r="D10" s="6" t="n">
        <v>1</v>
      </c>
      <c r="E10" s="6" t="inlineStr">
        <is>
          <t>₩10,000~20,000</t>
        </is>
      </c>
      <c r="F10" s="6">
        <f>D10*10000</f>
        <v/>
      </c>
      <c r="G10" s="5" t="inlineStr">
        <is>
          <t>근육. 센서읽기·릴레이·모터 제어</t>
        </is>
      </c>
      <c r="H10" s="5" t="inlineStr">
        <is>
          <t>쿠팡 / 디바이스마트</t>
        </is>
      </c>
    </row>
    <row r="11" ht="30" customHeight="1">
      <c r="A11" s="5" t="inlineStr">
        <is>
          <t>메인보드</t>
        </is>
      </c>
      <c r="B11" s="5" t="inlineStr">
        <is>
          <t>USB A to B 케이블 (1m)</t>
        </is>
      </c>
      <c r="C11" s="5" t="inlineStr">
        <is>
          <t>USB 2.0 A-B 프린터 케이블</t>
        </is>
      </c>
      <c r="D11" s="6" t="n">
        <v>1</v>
      </c>
      <c r="E11" s="6" t="inlineStr">
        <is>
          <t>₩2,000~4,000</t>
        </is>
      </c>
      <c r="F11" s="6">
        <f>D11*2000</f>
        <v/>
      </c>
      <c r="G11" s="5" t="inlineStr">
        <is>
          <t>라즈베리파이 ↔ Arduino 연결</t>
        </is>
      </c>
      <c r="H11" s="5" t="inlineStr">
        <is>
          <t>쿠팡</t>
        </is>
      </c>
    </row>
    <row r="12" ht="30" customHeight="1">
      <c r="A12" s="4" t="inlineStr">
        <is>
          <t>🌡️ 센서</t>
        </is>
      </c>
    </row>
    <row r="13" ht="30" customHeight="1">
      <c r="A13" s="9" t="inlineStr">
        <is>
          <t>센서</t>
        </is>
      </c>
      <c r="B13" s="9" t="inlineStr">
        <is>
          <t>캐패시티브 토양수분 센서 v1.2</t>
        </is>
      </c>
      <c r="C13" s="9" t="inlineStr">
        <is>
          <t>Capacitive Soil Moisture Sensor v1.2</t>
        </is>
      </c>
      <c r="D13" s="10" t="n">
        <v>3</v>
      </c>
      <c r="E13" s="10" t="inlineStr">
        <is>
          <t>₩2,500~4,000</t>
        </is>
      </c>
      <c r="F13" s="10">
        <f>D13*2500</f>
        <v/>
      </c>
      <c r="G13" s="9" t="inlineStr">
        <is>
          <t>저항식 절대 금지(부식). 화분 수만큼 구매</t>
        </is>
      </c>
      <c r="H13" s="9" t="inlineStr">
        <is>
          <t>쿠팡 / 펀키트랩</t>
        </is>
      </c>
    </row>
    <row r="14" ht="30" customHeight="1">
      <c r="A14" s="9" t="inlineStr">
        <is>
          <t>센서</t>
        </is>
      </c>
      <c r="B14" s="9" t="inlineStr">
        <is>
          <t>DHT22 온습도 센서</t>
        </is>
      </c>
      <c r="C14" s="9" t="inlineStr">
        <is>
          <t>DHT22 / AM2302</t>
        </is>
      </c>
      <c r="D14" s="10" t="n">
        <v>1</v>
      </c>
      <c r="E14" s="10" t="inlineStr">
        <is>
          <t>₩3,000~5,000</t>
        </is>
      </c>
      <c r="F14" s="10">
        <f>D14*3000</f>
        <v/>
      </c>
      <c r="G14" s="9" t="inlineStr">
        <is>
          <t>DHT11 사용 금지. 10kΩ 풀업저항 필수</t>
        </is>
      </c>
      <c r="H14" s="9" t="inlineStr">
        <is>
          <t>쿠팡 / 에듀이노</t>
        </is>
      </c>
    </row>
    <row r="15" ht="30" customHeight="1">
      <c r="A15" s="5" t="inlineStr">
        <is>
          <t>센서</t>
        </is>
      </c>
      <c r="B15" s="5" t="inlineStr">
        <is>
          <t>BH1750 조도 센서</t>
        </is>
      </c>
      <c r="C15" s="5" t="inlineStr">
        <is>
          <t>BH1750 I2C 광도 센서 모듈</t>
        </is>
      </c>
      <c r="D15" s="6" t="n">
        <v>1</v>
      </c>
      <c r="E15" s="6" t="inlineStr">
        <is>
          <t>₩2,000~4,000</t>
        </is>
      </c>
      <c r="F15" s="6">
        <f>D15*2000</f>
        <v/>
      </c>
      <c r="G15" s="5" t="inlineStr">
        <is>
          <t>I2C 방식. SDA/SCL 직결</t>
        </is>
      </c>
      <c r="H15" s="5" t="inlineStr">
        <is>
          <t>쿠팡 / 디바이스마트</t>
        </is>
      </c>
    </row>
    <row r="16" ht="30" customHeight="1">
      <c r="A16" s="9" t="inlineStr">
        <is>
          <t>센서</t>
        </is>
      </c>
      <c r="B16" s="9" t="inlineStr">
        <is>
          <t>10kΩ 저항 (DHT22 풀업)</t>
        </is>
      </c>
      <c r="C16" s="9" t="inlineStr">
        <is>
          <t>탄소피막 저항 10kΩ 1/4W</t>
        </is>
      </c>
      <c r="D16" s="10" t="n">
        <v>10</v>
      </c>
      <c r="E16" s="10" t="inlineStr">
        <is>
          <t>₩50~100</t>
        </is>
      </c>
      <c r="F16" s="10">
        <f>D16*50</f>
        <v/>
      </c>
      <c r="G16" s="9" t="inlineStr">
        <is>
          <t>DHT22 DATA-VCC 사이 연결 필수. 없으면 센서 오류</t>
        </is>
      </c>
      <c r="H16" s="9" t="inlineStr">
        <is>
          <t>쿠팡 / 디바이스마트</t>
        </is>
      </c>
    </row>
    <row r="17" ht="30" customHeight="1">
      <c r="A17" s="4" t="inlineStr">
        <is>
          <t>⚙️ 액추에이터</t>
        </is>
      </c>
    </row>
    <row r="18" ht="30" customHeight="1">
      <c r="A18" s="5" t="inlineStr">
        <is>
          <t>액추에이터</t>
        </is>
      </c>
      <c r="B18" s="5" t="inlineStr">
        <is>
          <t>5V 미니 수중 펌프</t>
        </is>
      </c>
      <c r="C18" s="5" t="inlineStr">
        <is>
          <t>5V 소형 잠수펌프 (실리콘튜브 포함 세트)</t>
        </is>
      </c>
      <c r="D18" s="6" t="n">
        <v>1</v>
      </c>
      <c r="E18" s="6" t="inlineStr">
        <is>
          <t>₩3,000~6,000</t>
        </is>
      </c>
      <c r="F18" s="6">
        <f>D18*3000</f>
        <v/>
      </c>
      <c r="G18" s="5" t="inlineStr">
        <is>
          <t>관수용. 릴레이로 ON/OFF 제어</t>
        </is>
      </c>
      <c r="H18" s="5" t="inlineStr">
        <is>
          <t>쿠팡</t>
        </is>
      </c>
    </row>
    <row r="19" ht="30" customHeight="1">
      <c r="A19" s="9" t="inlineStr">
        <is>
          <t>액추에이터</t>
        </is>
      </c>
      <c r="B19" s="9" t="inlineStr">
        <is>
          <t>실리콘 튜브 (내경 6mm)</t>
        </is>
      </c>
      <c r="C19" s="9" t="inlineStr">
        <is>
          <t>식품용 실리콘 튜브 내경 6mm × 2m</t>
        </is>
      </c>
      <c r="D19" s="10" t="n">
        <v>1</v>
      </c>
      <c r="E19" s="10" t="inlineStr">
        <is>
          <t>₩2,000~4,000</t>
        </is>
      </c>
      <c r="F19" s="10">
        <f>D19*2000</f>
        <v/>
      </c>
      <c r="G19" s="9" t="inlineStr">
        <is>
          <t>펌프→화분 연결 호스. 없으면 물 못 보냄</t>
        </is>
      </c>
      <c r="H19" s="9" t="inlineStr">
        <is>
          <t>쿠팡</t>
        </is>
      </c>
    </row>
    <row r="20" ht="30" customHeight="1">
      <c r="A20" s="5" t="inlineStr">
        <is>
          <t>액추에이터</t>
        </is>
      </c>
      <c r="B20" s="5" t="inlineStr">
        <is>
          <t>12V DC 환풍팬 (80mm)</t>
        </is>
      </c>
      <c r="C20" s="5" t="inlineStr">
        <is>
          <t>12V DC 쿨링팬 80mm / 92mm</t>
        </is>
      </c>
      <c r="D20" s="6" t="n">
        <v>2</v>
      </c>
      <c r="E20" s="6" t="inlineStr">
        <is>
          <t>₩4,000~8,000</t>
        </is>
      </c>
      <c r="F20" s="6">
        <f>D20*4000</f>
        <v/>
      </c>
      <c r="G20" s="5" t="inlineStr">
        <is>
          <t>온도 28°C 초과 시 자동. 릴레이 제어</t>
        </is>
      </c>
      <c r="H20" s="5" t="inlineStr">
        <is>
          <t>쿠팡</t>
        </is>
      </c>
    </row>
    <row r="21" ht="30" customHeight="1">
      <c r="A21" s="5" t="inlineStr">
        <is>
          <t>액추에이터</t>
        </is>
      </c>
      <c r="B21" s="5" t="inlineStr">
        <is>
          <t>28BYJ-48 스테퍼모터 + ULN2003</t>
        </is>
      </c>
      <c r="C21" s="5" t="inlineStr">
        <is>
          <t>28BYJ-48 + ULN2003 드라이버 세트</t>
        </is>
      </c>
      <c r="D21" s="6" t="n">
        <v>1</v>
      </c>
      <c r="E21" s="6" t="inlineStr">
        <is>
          <t>₩2,500~4,000</t>
        </is>
      </c>
      <c r="F21" s="6">
        <f>D21*2500</f>
        <v/>
      </c>
      <c r="G21" s="5" t="inlineStr">
        <is>
          <t>측창 개폐용. 세트 구매 권장</t>
        </is>
      </c>
      <c r="H21" s="5" t="inlineStr">
        <is>
          <t>쿠팡 / 디바이스마트</t>
        </is>
      </c>
    </row>
    <row r="22" ht="30" customHeight="1">
      <c r="A22" s="7" t="inlineStr">
        <is>
          <t>액추에이터</t>
        </is>
      </c>
      <c r="B22" s="7" t="inlineStr">
        <is>
          <t>4채널 5V 릴레이 모듈</t>
        </is>
      </c>
      <c r="C22" s="7" t="inlineStr">
        <is>
          <t>5V 4채널 릴레이 모듈</t>
        </is>
      </c>
      <c r="D22" s="8" t="n">
        <v>1</v>
      </c>
      <c r="E22" s="8" t="inlineStr">
        <is>
          <t>₩3,000~5,000</t>
        </is>
      </c>
      <c r="F22" s="8">
        <f>D22*3000</f>
        <v/>
      </c>
      <c r="G22" s="7" t="inlineStr">
        <is>
          <t>펌프·팬·조명 ON/OFF. 전압 확인 후 배선</t>
        </is>
      </c>
      <c r="H22" s="7" t="inlineStr">
        <is>
          <t>쿠팡 / 펀키트랩</t>
        </is>
      </c>
    </row>
    <row r="23" ht="30" customHeight="1">
      <c r="A23" s="4" t="inlineStr">
        <is>
          <t>🔘 모드스위칭</t>
        </is>
      </c>
    </row>
    <row r="24" ht="30" customHeight="1">
      <c r="A24" s="11" t="inlineStr">
        <is>
          <t>모드스위칭</t>
        </is>
      </c>
      <c r="B24" s="11" t="inlineStr">
        <is>
          <t>토글 스위치 (AUTO/MANUAL)</t>
        </is>
      </c>
      <c r="C24" s="11" t="inlineStr">
        <is>
          <t>2단 토글 스위치 ON-OFF</t>
        </is>
      </c>
      <c r="D24" s="12" t="n">
        <v>1</v>
      </c>
      <c r="E24" s="12" t="inlineStr">
        <is>
          <t>₩500~1,000</t>
        </is>
      </c>
      <c r="F24" s="12">
        <f>D24*500</f>
        <v/>
      </c>
      <c r="G24" s="11" t="inlineStr">
        <is>
          <t>AUTO ↔ MANUAL 모드 전환용</t>
        </is>
      </c>
      <c r="H24" s="11" t="inlineStr">
        <is>
          <t>쿠팡 / 디바이스마트</t>
        </is>
      </c>
    </row>
    <row r="25" ht="30" customHeight="1">
      <c r="A25" s="11" t="inlineStr">
        <is>
          <t>모드스위칭</t>
        </is>
      </c>
      <c r="B25" s="11" t="inlineStr">
        <is>
          <t>푸시버튼 × 6개</t>
        </is>
      </c>
      <c r="C25" s="11" t="inlineStr">
        <is>
          <t>6×6mm 택트 스위치 또는 12mm 푸시버튼</t>
        </is>
      </c>
      <c r="D25" s="12" t="n">
        <v>6</v>
      </c>
      <c r="E25" s="12" t="inlineStr">
        <is>
          <t>₩200~500</t>
        </is>
      </c>
      <c r="F25" s="12">
        <f>D25*200</f>
        <v/>
      </c>
      <c r="G25" s="11" t="inlineStr">
        <is>
          <t>펌프·팬·측창 각 ON/OFF 수동 제어</t>
        </is>
      </c>
      <c r="H25" s="11" t="inlineStr">
        <is>
          <t>쿠팡 / 디바이스마트</t>
        </is>
      </c>
    </row>
    <row r="26" ht="30" customHeight="1">
      <c r="A26" s="11" t="inlineStr">
        <is>
          <t>모드스위칭</t>
        </is>
      </c>
      <c r="B26" s="11" t="inlineStr">
        <is>
          <t>LED 표시등 3색 (적/녹/황)</t>
        </is>
      </c>
      <c r="C26" s="11" t="inlineStr">
        <is>
          <t>5mm LED 적·녹·황 각 2개입</t>
        </is>
      </c>
      <c r="D26" s="12" t="n">
        <v>1</v>
      </c>
      <c r="E26" s="12" t="inlineStr">
        <is>
          <t>₩500~1,000</t>
        </is>
      </c>
      <c r="F26" s="12">
        <f>D26*500</f>
        <v/>
      </c>
      <c r="G26" s="11" t="inlineStr">
        <is>
          <t>AUTO/MANUAL/REMOTE 모드 표시</t>
        </is>
      </c>
      <c r="H26" s="11" t="inlineStr">
        <is>
          <t>쿠팡 / 디바이스마트</t>
        </is>
      </c>
    </row>
    <row r="27" ht="30" customHeight="1">
      <c r="A27" s="11" t="inlineStr">
        <is>
          <t>모드스위칭</t>
        </is>
      </c>
      <c r="B27" s="11" t="inlineStr">
        <is>
          <t>220Ω 저항 (LED용)</t>
        </is>
      </c>
      <c r="C27" s="11" t="inlineStr">
        <is>
          <t>탄소피막 저항 220Ω 1/4W</t>
        </is>
      </c>
      <c r="D27" s="12" t="n">
        <v>10</v>
      </c>
      <c r="E27" s="12" t="inlineStr">
        <is>
          <t>₩50~100</t>
        </is>
      </c>
      <c r="F27" s="12">
        <f>D27*50</f>
        <v/>
      </c>
      <c r="G27" s="11" t="inlineStr">
        <is>
          <t>LED 전류 제한 저항. 없으면 LED 타버림</t>
        </is>
      </c>
      <c r="H27" s="11" t="inlineStr">
        <is>
          <t>쿠팡 / 디바이스마트</t>
        </is>
      </c>
    </row>
    <row r="28" ht="30" customHeight="1">
      <c r="A28" s="4" t="inlineStr">
        <is>
          <t>🔌 전원·기타</t>
        </is>
      </c>
    </row>
    <row r="29" ht="30" customHeight="1">
      <c r="A29" s="5" t="inlineStr">
        <is>
          <t>전원·기타</t>
        </is>
      </c>
      <c r="B29" s="5" t="inlineStr">
        <is>
          <t>12V 2A DC 어댑터</t>
        </is>
      </c>
      <c r="C29" s="5" t="inlineStr">
        <is>
          <t>DC잭 5.5/2.1mm 12V 2A 어댑터</t>
        </is>
      </c>
      <c r="D29" s="6" t="n">
        <v>1</v>
      </c>
      <c r="E29" s="6" t="inlineStr">
        <is>
          <t>₩5,000~8,000</t>
        </is>
      </c>
      <c r="F29" s="6">
        <f>D29*5000</f>
        <v/>
      </c>
      <c r="G29" s="5" t="inlineStr">
        <is>
          <t>환풍팬·스테퍼모터 전원. DC잭 규격 확인 필수</t>
        </is>
      </c>
      <c r="H29" s="5" t="inlineStr">
        <is>
          <t>쿠팡</t>
        </is>
      </c>
    </row>
    <row r="30" ht="30" customHeight="1">
      <c r="A30" s="5" t="inlineStr">
        <is>
          <t>전원·기타</t>
        </is>
      </c>
      <c r="B30" s="5" t="inlineStr">
        <is>
          <t>점퍼선 세트 (M-M/M-F/F-F)</t>
        </is>
      </c>
      <c r="C30" s="5" t="inlineStr">
        <is>
          <t>3종 혼합 점퍼선 40개입 세트</t>
        </is>
      </c>
      <c r="D30" s="6" t="n">
        <v>1</v>
      </c>
      <c r="E30" s="6" t="inlineStr">
        <is>
          <t>₩3,000~5,000</t>
        </is>
      </c>
      <c r="F30" s="6">
        <f>D30*3000</f>
        <v/>
      </c>
      <c r="G30" s="5" t="inlineStr">
        <is>
          <t>브레드보드 배선용. 3종 세트 권장</t>
        </is>
      </c>
      <c r="H30" s="5" t="inlineStr">
        <is>
          <t>쿠팡</t>
        </is>
      </c>
    </row>
    <row r="31" ht="30" customHeight="1">
      <c r="A31" s="5" t="inlineStr">
        <is>
          <t>전원·기타</t>
        </is>
      </c>
      <c r="B31" s="5" t="inlineStr">
        <is>
          <t>브레드보드 830핀</t>
        </is>
      </c>
      <c r="C31" s="5" t="inlineStr">
        <is>
          <t>솔더리스 브레드보드 830핀 (대형)</t>
        </is>
      </c>
      <c r="D31" s="6" t="n">
        <v>1</v>
      </c>
      <c r="E31" s="6" t="inlineStr">
        <is>
          <t>₩2,000~4,000</t>
        </is>
      </c>
      <c r="F31" s="6">
        <f>D31*2000</f>
        <v/>
      </c>
      <c r="G31" s="5" t="inlineStr">
        <is>
          <t>센서 많아 830핀 대형 권장</t>
        </is>
      </c>
      <c r="H31" s="5" t="inlineStr">
        <is>
          <t>쿠팡</t>
        </is>
      </c>
    </row>
    <row r="32" ht="30" customHeight="1">
      <c r="A32" s="5" t="inlineStr">
        <is>
          <t>전원·기타</t>
        </is>
      </c>
      <c r="B32" s="5" t="inlineStr">
        <is>
          <t>방수 인클로저 케이스</t>
        </is>
      </c>
      <c r="C32" s="5" t="inlineStr">
        <is>
          <t>ABS 방수 케이스 200×150mm 이상</t>
        </is>
      </c>
      <c r="D32" s="6" t="n">
        <v>1</v>
      </c>
      <c r="E32" s="6" t="inlineStr">
        <is>
          <t>₩8,000~18,000</t>
        </is>
      </c>
      <c r="F32" s="6">
        <f>D32*8000</f>
        <v/>
      </c>
      <c r="G32" s="5" t="inlineStr">
        <is>
          <t>라즈베리파이+Arduino 수납. 크기 여유있게</t>
        </is>
      </c>
      <c r="H32" s="5" t="inlineStr">
        <is>
          <t>쿠팡</t>
        </is>
      </c>
    </row>
    <row r="33" ht="30" customHeight="1">
      <c r="A33" s="5" t="inlineStr">
        <is>
          <t>전원·기타</t>
        </is>
      </c>
      <c r="B33" s="5" t="inlineStr">
        <is>
          <t>콘센트 연장선 (3구 이상)</t>
        </is>
      </c>
      <c r="C33" s="5" t="inlineStr">
        <is>
          <t>멀티탭 3구 이상, 접지형</t>
        </is>
      </c>
      <c r="D33" s="6" t="n">
        <v>1</v>
      </c>
      <c r="E33" s="6" t="inlineStr">
        <is>
          <t>₩5,000~10,000</t>
        </is>
      </c>
      <c r="F33" s="6">
        <f>D33*5000</f>
        <v/>
      </c>
      <c r="G33" s="5" t="inlineStr">
        <is>
          <t>하우스 기존 전기 인출용</t>
        </is>
      </c>
      <c r="H33" s="5" t="inlineStr">
        <is>
          <t>쿠팡 / 다이소</t>
        </is>
      </c>
    </row>
    <row r="34" ht="28" customHeight="1">
      <c r="A34" s="13" t="inlineStr">
        <is>
          <t>💰  예상 총 합계</t>
        </is>
      </c>
      <c r="E34" s="14" t="inlineStr">
        <is>
          <t>₩158,200 ~ ₩255,000</t>
        </is>
      </c>
      <c r="F34" s="15" t="inlineStr">
        <is>
          <t>가격은 시기·구매처에 따라 변동될 수 있음</t>
        </is>
      </c>
    </row>
    <row r="36" ht="20" customHeight="1">
      <c r="A36" s="16" t="inlineStr">
        <is>
          <t>범례 (색상 구분)</t>
        </is>
      </c>
    </row>
    <row r="37" ht="18" customHeight="1">
      <c r="A37" s="5" t="inlineStr">
        <is>
          <t xml:space="preserve">    일반 부품 — 표준 구매</t>
        </is>
      </c>
    </row>
    <row r="38" ht="18" customHeight="1">
      <c r="A38" s="9" t="inlineStr">
        <is>
          <t xml:space="preserve">    ⚠️ 주의 필수 — 모델/규격 반드시 확인</t>
        </is>
      </c>
    </row>
    <row r="39" ht="18" customHeight="1">
      <c r="A39" s="7" t="inlineStr">
        <is>
          <t xml:space="preserve">    ⚠️ 경고 — 전압·규격 주의</t>
        </is>
      </c>
    </row>
    <row r="40" ht="18" customHeight="1">
      <c r="A40" s="11" t="inlineStr">
        <is>
          <t xml:space="preserve">    🔘 신규 추가 — 모드 스위칭 부품</t>
        </is>
      </c>
    </row>
  </sheetData>
  <mergeCells count="14">
    <mergeCell ref="A12:H12"/>
    <mergeCell ref="A4:H4"/>
    <mergeCell ref="F34:H34"/>
    <mergeCell ref="A39:H39"/>
    <mergeCell ref="A34:D34"/>
    <mergeCell ref="A38:H38"/>
    <mergeCell ref="A2:H2"/>
    <mergeCell ref="A40:H40"/>
    <mergeCell ref="A28:H28"/>
    <mergeCell ref="A36:H36"/>
    <mergeCell ref="A37:H37"/>
    <mergeCell ref="A1:H1"/>
    <mergeCell ref="A23:H23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2026-03-25T23:55:52Z</dcterms:created>
  <dcterms:modified xmlns:dcterms="http://purl.org/dc/terms/" xmlns:xsi="http://www.w3.org/2001/XMLSchema-instance" xsi:type="dcterms:W3CDTF">2026-03-25T23:55:52Z</dcterms:modified>
</cp:coreProperties>
</file>